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0fa63dc16745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camento" sheetId="1" r:id="R1ea0a838e98b47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"/>
  </x:numFmts>
  <x:fonts count="5">
    <x:font>
      <x:sz val="11"/>
      <x:name val="Carlito"/>
    </x:font>
    <x:font>
      <x:sz val="10"/>
      <x:color rgb="FF0B1F3A"/>
      <x:name val="Arial"/>
    </x:font>
    <x:font>
      <x:b/>
      <x:sz val="15"/>
      <x:color rgb="FF0B1F3A"/>
      <x:name val="Arial"/>
    </x:font>
    <x:font>
      <x:sz val="10"/>
      <x:color rgb="FF2563EB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82416c32a84490" /><Relationship Type="http://schemas.openxmlformats.org/officeDocument/2006/relationships/theme" Target="/xl/theme/theme1.xml" Id="Rc6da4fb64528479b" /><Relationship Type="http://schemas.openxmlformats.org/officeDocument/2006/relationships/sharedStrings" Target="/xl/sharedStrings.xml" Id="R5b2a8fd31bb74b9e" /><Relationship Type="http://schemas.openxmlformats.org/officeDocument/2006/relationships/worksheet" Target="/xl/worksheets/sheet1.xml" Id="R1ea0a838e98b47e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998bd0c87194f2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Despesas mensais (unidades de exercício)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Despesa mensal</c:v>
          </c:tx>
          <c:spPr>
            <a:solidFill xmlns:a="http://schemas.openxmlformats.org/drawingml/2006/main">
              <a:srgbClr val="2563EB"/>
            </a:solidFill>
          </c:spPr>
          <c:invertIfNegative val="0"/>
          <c:cat>
            <c:strRef>
              <c:f>'Orcamento'!$G$23:$G$25</c:f>
              <c:strCache>
                <c:ptCount val="0"/>
              </c:strCache>
            </c:strRef>
          </c:cat>
          <c:val>
            <c:numRef>
              <c:f>'Orcamento'!$H$23:$H$25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4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98bd0c87194f2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3a0736d4917474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7" hidden="0" customWidth="1"/>
    <x:col min="3" max="3" width="17" hidden="0" customWidth="1"/>
    <x:col min="4" max="4" width="17" hidden="0" customWidth="1"/>
    <x:col min="5" max="5" width="3" hidden="0" customWidth="1"/>
    <x:col min="6" max="6" width="3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2" customHeight="1">
      <x:c r="A2" s="2" t="str">
        <x:v>TGPI — Orçamento comparativo: solução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2" customHeight="1">
      <x:c r="A3" s="1" t="str">
        <x:v>Dados fictícios. Todos os valores em unidades monetárias de exercício.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22" customHeight="1">
      <x:c r="A4" s="10" t="str">
        <x:v>Indicador</x:v>
      </x:c>
      <x:c r="B4" s="10" t="str">
        <x:v>Destino A</x:v>
      </x:c>
      <x:c r="C4" s="10" t="str">
        <x:v>Destino B</x:v>
      </x:c>
      <x:c r="D4" s="10" t="str">
        <x:v>Destino C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22" customHeight="1">
      <x:c r="A5" s="1" t="str">
        <x:v>Despesa mensal</x:v>
      </x:c>
      <x:c r="B5" s="4" t="n">
        <x:f>B14</x:f>
        <x:v>1350</x:v>
      </x:c>
      <x:c r="C5" s="4" t="n">
        <x:f>C14</x:f>
        <x:v>1300</x:v>
      </x:c>
      <x:c r="D5" s="4" t="n">
        <x:f>D14</x:f>
        <x:v>1720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22" customHeight="1">
      <x:c r="A6" s="1" t="str">
        <x:v>Cobertura (meses)</x:v>
      </x:c>
      <x:c r="B6" s="5" t="n">
        <x:f>B21</x:f>
        <x:v>10.666666666666666</x:v>
      </x:c>
      <x:c r="C6" s="5" t="n">
        <x:f>C21</x:f>
        <x:v>27.5</x:v>
      </x:c>
      <x:c r="D6" s="5" t="n">
        <x:f>D21</x:f>
        <x:v>22.5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2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2" customHeight="1">
      <x:c r="A9" s="10" t="str">
        <x:v>Categoria mensal</x:v>
      </x:c>
      <x:c r="B9" s="10" t="str">
        <x:v>Destino A</x:v>
      </x:c>
      <x:c r="C9" s="10" t="str">
        <x:v>Destino B</x:v>
      </x:c>
      <x:c r="D9" s="10" t="str">
        <x:v>Destino C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2" customHeight="1">
      <x:c r="A10" s="1" t="str">
        <x:v>Moradia</x:v>
      </x:c>
      <x:c r="B10" s="6" t="n">
        <x:v>900</x:v>
      </x:c>
      <x:c r="C10" s="6" t="n">
        <x:v>800</x:v>
      </x:c>
      <x:c r="D10" s="6" t="n">
        <x:v>1100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 ht="22" customHeight="1">
      <x:c r="A11" s="1" t="str">
        <x:v>Alimentação</x:v>
      </x:c>
      <x:c r="B11" s="6" t="n">
        <x:v>250</x:v>
      </x:c>
      <x:c r="C11" s="6" t="n">
        <x:v>300</x:v>
      </x:c>
      <x:c r="D11" s="6" t="n">
        <x:v>350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 ht="22" customHeight="1">
      <x:c r="A12" s="1" t="str">
        <x:v>Transporte</x:v>
      </x:c>
      <x:c r="B12" s="6" t="n">
        <x:v>80</x:v>
      </x:c>
      <x:c r="C12" s="6" t="n">
        <x:v>100</x:v>
      </x:c>
      <x:c r="D12" s="6" t="n">
        <x:v>120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 ht="22" customHeight="1">
      <x:c r="A13" s="1" t="str">
        <x:v>Serviços</x:v>
      </x:c>
      <x:c r="B13" s="6" t="n">
        <x:v>120</x:v>
      </x:c>
      <x:c r="C13" s="6" t="n">
        <x:v>100</x:v>
      </x:c>
      <x:c r="D13" s="6" t="n">
        <x:v>150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 ht="22" customHeight="1">
      <x:c r="A14" s="11" t="str">
        <x:v>Total mensal</x:v>
      </x:c>
      <x:c r="B14" s="12" t="n">
        <x:f>IF(COUNT(B10:B13)=4,SUM(B10:B13),"dados ausentes")</x:f>
        <x:v>1350</x:v>
      </x:c>
      <x:c r="C14" s="12" t="n">
        <x:f>IF(COUNT(C10:C13)=4,SUM(C10:C13),"dados ausentes")</x:f>
        <x:v>1300</x:v>
      </x:c>
      <x:c r="D14" s="12" t="n">
        <x:f>IF(COUNT(D10:D13)=4,SUM(D10:D13),"dados ausentes")</x:f>
        <x:v>1720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 ht="22" customHeight="1">
      <x:c r="A15" s="1"/>
      <x:c r="B15" s="4"/>
      <x:c r="C15" s="4"/>
      <x:c r="D15" s="4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 ht="22" customHeight="1">
      <x:c r="A16" s="1" t="str">
        <x:v>Reserva disponível</x:v>
      </x:c>
      <x:c r="B16" s="6" t="n">
        <x:v>6000</x:v>
      </x:c>
      <x:c r="C16" s="6" t="n">
        <x:v>7000</x:v>
      </x:c>
      <x:c r="D16" s="6" t="n">
        <x:v>9000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 ht="22" customHeight="1">
      <x:c r="A17" s="1" t="str">
        <x:v>Custos iniciais</x:v>
      </x:c>
      <x:c r="B17" s="6" t="n">
        <x:v>1200</x:v>
      </x:c>
      <x:c r="C17" s="6" t="n">
        <x:v>1500</x:v>
      </x:c>
      <x:c r="D17" s="6" t="n">
        <x:v>1800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2" customHeight="1">
      <x:c r="A18" s="1" t="str">
        <x:v>Renda mensal</x:v>
      </x:c>
      <x:c r="B18" s="6" t="n">
        <x:v>900</x:v>
      </x:c>
      <x:c r="C18" s="6" t="n">
        <x:v>1100</x:v>
      </x:c>
      <x:c r="D18" s="6" t="n">
        <x:v>1400</x:v>
      </x:c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2" customHeight="1">
      <x:c r="A19" s="1" t="str">
        <x:v>Caixa após custos iniciais</x:v>
      </x:c>
      <x:c r="B19" s="4" t="n">
        <x:f>IF(COUNT(B16:B17)=2,B16-B17,"dados ausentes")</x:f>
        <x:v>4800</x:v>
      </x:c>
      <x:c r="C19" s="4" t="n">
        <x:f>IF(COUNT(C16:C17)=2,C16-C17,"dados ausentes")</x:f>
        <x:v>5500</x:v>
      </x:c>
      <x:c r="D19" s="4" t="n">
        <x:f>IF(COUNT(D16:D17)=2,D16-D17,"dados ausentes")</x:f>
        <x:v>7200</x:v>
      </x:c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 ht="22" customHeight="1">
      <x:c r="A20" s="1" t="str">
        <x:v>Déficit mensal</x:v>
      </x:c>
      <x:c r="B20" s="4" t="n">
        <x:f>IF(COUNT(B14,B18)=2,MAX(0,B14-B18),"dados ausentes")</x:f>
        <x:v>450</x:v>
      </x:c>
      <x:c r="C20" s="4" t="n">
        <x:f>IF(COUNT(C14,C18)=2,MAX(0,C14-C18),"dados ausentes")</x:f>
        <x:v>200</x:v>
      </x:c>
      <x:c r="D20" s="4" t="n">
        <x:f>IF(COUNT(D14,D18)=2,MAX(0,D14-D18),"dados ausentes")</x:f>
        <x:v>320</x:v>
      </x:c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2" customHeight="1">
      <x:c r="A21" s="11" t="str">
        <x:v>Cobertura (meses)</x:v>
      </x:c>
      <x:c r="B21" s="13" t="n">
        <x:f>IF(COUNT(B19:B20)=2,IF(B19&lt;0,"caixa insuficiente",IF(B20=0,"sem déficit",B19/B20)),"dados ausentes")</x:f>
        <x:v>10.666666666666666</x:v>
      </x:c>
      <x:c r="C21" s="13" t="n">
        <x:f>IF(COUNT(C19:C20)=2,IF(C19&lt;0,"caixa insuficiente",IF(C20=0,"sem déficit",C19/C20)),"dados ausentes")</x:f>
        <x:v>27.5</x:v>
      </x:c>
      <x:c r="D21" s="13" t="n">
        <x:f>IF(COUNT(D19:D20)=2,IF(D19&lt;0,"caixa insuficiente",IF(D20=0,"sem déficit",D19/D20)),"dados ausentes")</x:f>
        <x:v>22.5</x:v>
      </x:c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 ht="22" customHeight="1">
      <x:c r="A22" s="1"/>
      <x:c r="B22" s="1"/>
      <x:c r="C22" s="1"/>
      <x:c r="D22" s="1"/>
      <x:c r="E22" s="1"/>
      <x:c r="F22" s="1"/>
      <x:c r="G22" s="1" t="str">
        <x:v>Destino</x:v>
      </x:c>
      <x:c r="H22" s="1" t="str">
        <x:v>Despesa mensal</x:v>
      </x:c>
      <x:c r="I22" s="1"/>
      <x:c r="J22" s="1"/>
      <x:c r="K22" s="1"/>
      <x:c r="L22" s="1"/>
      <x:c r="M22" s="1"/>
      <x:c r="N22" s="1"/>
    </x:row>
    <x:row r="23" ht="22" customHeight="1">
      <x:c r="A23" s="1"/>
      <x:c r="B23" s="1"/>
      <x:c r="C23" s="1"/>
      <x:c r="D23" s="1"/>
      <x:c r="E23" s="1"/>
      <x:c r="F23" s="1"/>
      <x:c r="G23" s="1" t="str">
        <x:v>A</x:v>
      </x:c>
      <x:c r="H23" s="1" t="n">
        <x:f>B14</x:f>
        <x:v>1350</x:v>
      </x:c>
      <x:c r="I23" s="1"/>
      <x:c r="J23" s="1"/>
      <x:c r="K23" s="1"/>
      <x:c r="L23" s="1"/>
      <x:c r="M23" s="1"/>
      <x:c r="N23" s="1"/>
    </x:row>
    <x:row r="24" ht="22" customHeight="1">
      <x:c r="A24" s="1" t="str">
        <x:v>Azul: entrada editável. Preto: cálculo. Ausência não equivale a zero.</x:v>
      </x:c>
      <x:c r="B24" s="1"/>
      <x:c r="C24" s="1"/>
      <x:c r="D24" s="1"/>
      <x:c r="E24" s="1"/>
      <x:c r="F24" s="1"/>
      <x:c r="G24" s="1" t="str">
        <x:v>B</x:v>
      </x:c>
      <x:c r="H24" s="1" t="n">
        <x:f>C14</x:f>
        <x:v>1300</x:v>
      </x:c>
      <x:c r="I24" s="1"/>
      <x:c r="J24" s="1"/>
      <x:c r="K24" s="1"/>
      <x:c r="L24" s="1"/>
      <x:c r="M24" s="1"/>
      <x:c r="N24" s="1"/>
    </x:row>
    <x:row r="25" ht="22" customHeight="1">
      <x:c r="A25" s="1" t="str">
        <x:v>Total: soma das categorias. Caixa: reserva menos custos iniciais.</x:v>
      </x:c>
      <x:c r="B25" s="1"/>
      <x:c r="C25" s="1"/>
      <x:c r="D25" s="1"/>
      <x:c r="E25" s="1"/>
      <x:c r="F25" s="1"/>
      <x:c r="G25" s="1" t="str">
        <x:v>C</x:v>
      </x:c>
      <x:c r="H25" s="1" t="n">
        <x:f>D14</x:f>
        <x:v>1720</x:v>
      </x:c>
      <x:c r="I25" s="1"/>
      <x:c r="J25" s="1"/>
      <x:c r="K25" s="1"/>
      <x:c r="L25" s="1"/>
      <x:c r="M25" s="1"/>
      <x:c r="N25" s="1"/>
    </x:row>
    <x:row r="26" ht="22" customHeight="1">
      <x:c r="A26" s="1" t="str">
        <x:v>Déficit: máximo entre zero e despesa menos renda. Cobertura: caixa ÷ déficit.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 ht="22" customHeight="1">
      <x:c r="A27" s="1" t="str">
        <x:v>Teste: altere a moradia do destino A para 1.000 e confira os resultados.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</x:sheetData>
  <x:pageMargins left="0.7" right="0.7" top="0.75" bottom="0.75" header="0.3" footer="0.3"/>
  <x:drawing xmlns:r="http://schemas.openxmlformats.org/officeDocument/2006/relationships" r:id="Rf3a0736d49174746"/>
</x:worksheet>
</file>